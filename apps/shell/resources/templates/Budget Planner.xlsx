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'Budget'!$A$5:$G$15</definedName>
    <definedName name="_xlnm.Print_Area" localSheetId="0">'Budget'!$A$1:$G$20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;[Red]-&quot;$&quot;#,##0"/>
    <numFmt numFmtId="166" formatCode="0.0%;[Red]-0.0%"/>
    <numFmt numFmtId="167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667085"/>
      <sz val="10"/>
    </font>
    <font>
      <name val="Calibri"/>
      <b val="1"/>
      <color rgb="00667085"/>
      <sz val="10"/>
    </font>
    <font>
      <name val="Calibri"/>
      <b val="1"/>
      <color rgb="000B1020"/>
      <sz val="10"/>
    </font>
    <font>
      <name val="Calibri"/>
      <b val="1"/>
      <color rgb="00FFFFFF"/>
      <sz val="10"/>
    </font>
    <font>
      <name val="Calibri"/>
      <b val="1"/>
      <color rgb="001B2237"/>
      <sz val="10"/>
    </font>
    <font>
      <name val="Calibri"/>
      <color rgb="001B2237"/>
      <sz val="10"/>
    </font>
    <font>
      <name val="Calibri"/>
      <b val="1"/>
      <color rgb="006D3BE8"/>
      <sz val="9"/>
    </font>
    <font>
      <name val="Calibri"/>
      <b val="1"/>
      <color rgb="006D3BE8"/>
      <sz val="16"/>
    </font>
    <font>
      <name val="Calibri"/>
      <color rgb="001B2237"/>
      <sz val="11"/>
    </font>
  </fonts>
  <fills count="6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F7F8FC"/>
      </patternFill>
    </fill>
    <fill>
      <patternFill patternType="solid">
        <fgColor rgb="006D3BE8"/>
      </patternFill>
    </fill>
    <fill>
      <patternFill patternType="solid">
        <fgColor rgb="00F8F9FD"/>
      </patternFill>
    </fill>
  </fills>
  <borders count="3">
    <border>
      <left/>
      <right/>
      <top/>
      <bottom/>
      <diagonal/>
    </border>
    <border>
      <bottom style="medium">
        <color rgb="000B1020"/>
      </bottom>
    </border>
    <border>
      <left style="thin">
        <color rgb="00DDE3F0"/>
      </left>
      <right style="thin">
        <color rgb="00DDE3F0"/>
      </right>
      <top style="thin">
        <color rgb="00DDE3F0"/>
      </top>
      <bottom style="thin">
        <color rgb="00DDE3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164" fontId="7" fillId="5" borderId="2" applyAlignment="1" pivotButton="0" quotePrefix="0" xfId="0">
      <alignment horizontal="right" vertical="center" wrapText="1"/>
    </xf>
    <xf numFmtId="165" fontId="7" fillId="5" borderId="2" applyAlignment="1" pivotButton="0" quotePrefix="0" xfId="0">
      <alignment horizontal="right" vertical="center" wrapText="1"/>
    </xf>
    <xf numFmtId="166" fontId="7" fillId="5" borderId="2" applyAlignment="1" pivotButton="0" quotePrefix="0" xfId="0">
      <alignment horizontal="right" vertical="center" wrapText="1"/>
    </xf>
    <xf numFmtId="167" fontId="7" fillId="5" borderId="2" applyAlignment="1" pivotButton="0" quotePrefix="0" xfId="0">
      <alignment horizontal="right" vertical="center" wrapText="1"/>
    </xf>
    <xf numFmtId="0" fontId="7" fillId="5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right" vertical="center" wrapText="1"/>
    </xf>
    <xf numFmtId="165" fontId="7" fillId="0" borderId="2" applyAlignment="1" pivotButton="0" quotePrefix="0" xfId="0">
      <alignment horizontal="right" vertical="center" wrapText="1"/>
    </xf>
    <xf numFmtId="166" fontId="7" fillId="0" borderId="2" applyAlignment="1" pivotButton="0" quotePrefix="0" xfId="0">
      <alignment horizontal="right" vertical="center" wrapText="1"/>
    </xf>
    <xf numFmtId="167" fontId="7" fillId="0" borderId="2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left" vertical="center" wrapText="1"/>
    </xf>
    <xf numFmtId="165" fontId="6" fillId="5" borderId="2" applyAlignment="1" pivotButton="0" quotePrefix="0" xfId="0">
      <alignment horizontal="right" vertical="center" wrapText="1"/>
    </xf>
    <xf numFmtId="166" fontId="6" fillId="5" borderId="2" applyAlignment="1" pivotButton="0" quotePrefix="0" xfId="0">
      <alignment horizontal="right" vertical="center" wrapText="1"/>
    </xf>
    <xf numFmtId="167" fontId="6" fillId="5" borderId="2" applyAlignment="1" pivotButton="0" quotePrefix="0" xfId="0">
      <alignment horizontal="right" vertical="center" wrapText="1"/>
    </xf>
    <xf numFmtId="0" fontId="8" fillId="0" borderId="0" pivotButton="0" quotePrefix="0" xfId="0"/>
    <xf numFmtId="0" fontId="7" fillId="0" borderId="0" pivotButton="0" quotePrefix="0" xfId="0"/>
    <xf numFmtId="165" fontId="4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color rgb="00B42318"/>
      </font>
      <fill>
        <patternFill patternType="solid">
          <fgColor rgb="00FE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32" customWidth="1" min="7" max="7"/>
  </cols>
  <sheetData>
    <row r="1" ht="46" customHeight="1">
      <c r="A1" s="1" t="inlineStr">
        <is>
          <t>Budget Planner</t>
        </is>
      </c>
    </row>
    <row r="2" ht="28" customHeight="1">
      <c r="A2" s="2" t="inlineStr">
        <is>
          <t>Plan the month, track actuals, keep the variance visible.</t>
        </is>
      </c>
    </row>
    <row r="3">
      <c r="A3" s="3" t="inlineStr">
        <is>
          <t>Month</t>
        </is>
      </c>
      <c r="B3" s="4" t="inlineStr">
        <is>
          <t>October 2026</t>
        </is>
      </c>
      <c r="D3" s="3" t="inlineStr">
        <is>
          <t>Currency</t>
        </is>
      </c>
      <c r="E3" s="4" t="inlineStr">
        <is>
          <t>USD</t>
        </is>
      </c>
    </row>
    <row r="5" ht="28" customHeight="1">
      <c r="A5" s="5" t="inlineStr">
        <is>
          <t>Category</t>
        </is>
      </c>
      <c r="B5" s="5" t="inlineStr">
        <is>
          <t>Planned</t>
        </is>
      </c>
      <c r="C5" s="5" t="inlineStr">
        <is>
          <t>Actual</t>
        </is>
      </c>
      <c r="D5" s="5" t="inlineStr">
        <is>
          <t>Variance</t>
        </is>
      </c>
      <c r="E5" s="5" t="inlineStr">
        <is>
          <t>Variance %</t>
        </is>
      </c>
      <c r="F5" s="5" t="inlineStr">
        <is>
          <t>Share of plan</t>
        </is>
      </c>
      <c r="G5" s="5" t="inlineStr">
        <is>
          <t>Notes</t>
        </is>
      </c>
    </row>
    <row r="6" ht="24" customHeight="1">
      <c r="A6" s="6" t="inlineStr">
        <is>
          <t>Housing</t>
        </is>
      </c>
      <c r="B6" s="7" t="n">
        <v>1800</v>
      </c>
      <c r="C6" s="7" t="n">
        <v>1800</v>
      </c>
      <c r="D6" s="8">
        <f>C6-B6</f>
        <v/>
      </c>
      <c r="E6" s="9">
        <f>IF(B6=0,0,D6/B6)</f>
        <v/>
      </c>
      <c r="F6" s="10">
        <f>IF($B$16=0,0,B6/$B$16)</f>
        <v/>
      </c>
      <c r="G6" s="11" t="inlineStr">
        <is>
          <t>Rent</t>
        </is>
      </c>
    </row>
    <row r="7" ht="24" customHeight="1">
      <c r="A7" s="12" t="inlineStr">
        <is>
          <t>Utilities</t>
        </is>
      </c>
      <c r="B7" s="13" t="n">
        <v>220</v>
      </c>
      <c r="C7" s="13" t="n">
        <v>245</v>
      </c>
      <c r="D7" s="14">
        <f>C7-B7</f>
        <v/>
      </c>
      <c r="E7" s="15">
        <f>IF(B7=0,0,D7/B7)</f>
        <v/>
      </c>
      <c r="F7" s="16">
        <f>IF($B$16=0,0,B7/$B$16)</f>
        <v/>
      </c>
      <c r="G7" s="17" t="inlineStr">
        <is>
          <t>Power, water, internet</t>
        </is>
      </c>
    </row>
    <row r="8" ht="24" customHeight="1">
      <c r="A8" s="6" t="inlineStr">
        <is>
          <t>Groceries</t>
        </is>
      </c>
      <c r="B8" s="7" t="n">
        <v>520</v>
      </c>
      <c r="C8" s="7" t="n">
        <v>486</v>
      </c>
      <c r="D8" s="8">
        <f>C8-B8</f>
        <v/>
      </c>
      <c r="E8" s="9">
        <f>IF(B8=0,0,D8/B8)</f>
        <v/>
      </c>
      <c r="F8" s="10">
        <f>IF($B$16=0,0,B8/$B$16)</f>
        <v/>
      </c>
      <c r="G8" s="11" t="inlineStr">
        <is>
          <t>Weekly shop</t>
        </is>
      </c>
    </row>
    <row r="9" ht="24" customHeight="1">
      <c r="A9" s="12" t="inlineStr">
        <is>
          <t>Transport</t>
        </is>
      </c>
      <c r="B9" s="13" t="n">
        <v>260</v>
      </c>
      <c r="C9" s="13" t="n">
        <v>238</v>
      </c>
      <c r="D9" s="14">
        <f>C9-B9</f>
        <v/>
      </c>
      <c r="E9" s="15">
        <f>IF(B9=0,0,D9/B9)</f>
        <v/>
      </c>
      <c r="F9" s="16">
        <f>IF($B$16=0,0,B9/$B$16)</f>
        <v/>
      </c>
      <c r="G9" s="17" t="inlineStr">
        <is>
          <t>Transit and fuel</t>
        </is>
      </c>
    </row>
    <row r="10" ht="24" customHeight="1">
      <c r="A10" s="6" t="inlineStr">
        <is>
          <t>Dining</t>
        </is>
      </c>
      <c r="B10" s="7" t="n">
        <v>180</v>
      </c>
      <c r="C10" s="7" t="n">
        <v>214</v>
      </c>
      <c r="D10" s="8">
        <f>C10-B10</f>
        <v/>
      </c>
      <c r="E10" s="9">
        <f>IF(B10=0,0,D10/B10)</f>
        <v/>
      </c>
      <c r="F10" s="10">
        <f>IF($B$16=0,0,B10/$B$16)</f>
        <v/>
      </c>
      <c r="G10" s="11" t="inlineStr">
        <is>
          <t>Coffee and meals</t>
        </is>
      </c>
    </row>
    <row r="11" ht="24" customHeight="1">
      <c r="A11" s="12" t="inlineStr">
        <is>
          <t>Health</t>
        </is>
      </c>
      <c r="B11" s="13" t="n">
        <v>150</v>
      </c>
      <c r="C11" s="13" t="n">
        <v>120</v>
      </c>
      <c r="D11" s="14">
        <f>C11-B11</f>
        <v/>
      </c>
      <c r="E11" s="15">
        <f>IF(B11=0,0,D11/B11)</f>
        <v/>
      </c>
      <c r="F11" s="16">
        <f>IF($B$16=0,0,B11/$B$16)</f>
        <v/>
      </c>
      <c r="G11" s="17" t="inlineStr">
        <is>
          <t>Gym and pharmacy</t>
        </is>
      </c>
    </row>
    <row r="12" ht="24" customHeight="1">
      <c r="A12" s="6" t="inlineStr">
        <is>
          <t>Entertainment</t>
        </is>
      </c>
      <c r="B12" s="7" t="n">
        <v>120</v>
      </c>
      <c r="C12" s="7" t="n">
        <v>96</v>
      </c>
      <c r="D12" s="8">
        <f>C12-B12</f>
        <v/>
      </c>
      <c r="E12" s="9">
        <f>IF(B12=0,0,D12/B12)</f>
        <v/>
      </c>
      <c r="F12" s="10">
        <f>IF($B$16=0,0,B12/$B$16)</f>
        <v/>
      </c>
      <c r="G12" s="11" t="inlineStr">
        <is>
          <t>Streaming and events</t>
        </is>
      </c>
    </row>
    <row r="13" ht="24" customHeight="1">
      <c r="A13" s="12" t="inlineStr">
        <is>
          <t>Savings</t>
        </is>
      </c>
      <c r="B13" s="13" t="n">
        <v>600</v>
      </c>
      <c r="C13" s="13" t="n">
        <v>600</v>
      </c>
      <c r="D13" s="14">
        <f>C13-B13</f>
        <v/>
      </c>
      <c r="E13" s="15">
        <f>IF(B13=0,0,D13/B13)</f>
        <v/>
      </c>
      <c r="F13" s="16">
        <f>IF($B$16=0,0,B13/$B$16)</f>
        <v/>
      </c>
      <c r="G13" s="17" t="inlineStr">
        <is>
          <t>Transfer on payday</t>
        </is>
      </c>
    </row>
    <row r="16" ht="24" customHeight="1">
      <c r="A16" s="6" t="inlineStr">
        <is>
          <t>TOTAL</t>
        </is>
      </c>
      <c r="B16" s="18">
        <f>SUM(B6:B15)</f>
        <v/>
      </c>
      <c r="C16" s="18">
        <f>SUM(C6:C15)</f>
        <v/>
      </c>
      <c r="D16" s="18">
        <f>SUM(D6:D15)</f>
        <v/>
      </c>
      <c r="E16" s="19">
        <f>IF(B16=0,0,D16/B16)</f>
        <v/>
      </c>
      <c r="F16" s="20">
        <f>SUM(F6:F15)</f>
        <v/>
      </c>
      <c r="G16" s="11" t="inlineStr"/>
    </row>
    <row r="18">
      <c r="A18" s="21" t="inlineStr">
        <is>
          <t>MONTHLY HEALTH</t>
        </is>
      </c>
    </row>
    <row r="19">
      <c r="A19" s="22" t="inlineStr">
        <is>
          <t>Remaining</t>
        </is>
      </c>
      <c r="B19" s="23">
        <f>B16-C16</f>
        <v/>
      </c>
    </row>
    <row r="20">
      <c r="A20" s="22" t="inlineStr">
        <is>
          <t>Over budget?</t>
        </is>
      </c>
      <c r="B20" s="4">
        <f>IF(C16&gt;B16,"Yes — review dining and utilities","No — keep going")</f>
        <v/>
      </c>
    </row>
  </sheetData>
  <autoFilter ref="A5:G15"/>
  <mergeCells count="3">
    <mergeCell ref="A18:C18"/>
    <mergeCell ref="A2:G2"/>
    <mergeCell ref="A1:G1"/>
  </mergeCells>
  <conditionalFormatting sqref="D6:D15">
    <cfRule type="cellIs" priority="1" operator="lessThan" dxfId="0">
      <formula>0</formula>
    </cfRule>
  </conditionalFormatting>
  <conditionalFormatting sqref="E6:E15">
    <cfRule type="colorScale" priority="2">
      <colorScale>
        <cfvo type="num" val="-0.2"/>
        <cfvo type="num" val="0"/>
        <cfvo type="num" val="0.2"/>
        <color rgb="00FEE4E2"/>
        <color rgb="00FFFFFF"/>
        <color rgb="00D1FADF"/>
      </colorScale>
    </cfRule>
  </conditionalFormatting>
  <printOptions horizontalCentered="1"/>
  <pageMargins left="0.45" right="0.45" top="0.65" bottom="0.6" header="0.5" footer="0.5"/>
  <pageSetup orientation="portrait" fitToHeight="0" fitToWidth="1"/>
  <headerFooter>
    <oddHeader>&amp;C&amp;9 &amp;K667085&amp;BPLOT DOCS SUITE&amp;"Calibri,Bold"  /  Budget Planner</oddHeader>
    <oddFooter>&amp;L&amp;8 &amp;K667085Built with Plot Docs Suite&amp;R&amp;8 &amp;K667085Page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8" customWidth="1" min="2" max="2"/>
  </cols>
  <sheetData>
    <row r="1" ht="46" customHeight="1">
      <c r="A1" s="1" t="inlineStr">
        <is>
          <t>How to use this planner</t>
        </is>
      </c>
    </row>
    <row r="2" ht="28" customHeight="1">
      <c r="A2" s="2" t="inlineStr">
        <is>
          <t>Three minutes now saves a month of guesswork.</t>
        </is>
      </c>
    </row>
    <row r="4" ht="38" customHeight="1">
      <c r="A4" s="24" t="inlineStr">
        <is>
          <t>1</t>
        </is>
      </c>
      <c r="B4" s="25" t="inlineStr">
        <is>
          <t>Set the month and currency at the top of the Budget sheet.</t>
        </is>
      </c>
    </row>
    <row r="5" ht="38" customHeight="1">
      <c r="A5" s="24" t="inlineStr">
        <is>
          <t>2</t>
        </is>
      </c>
      <c r="B5" s="25" t="inlineStr">
        <is>
          <t>Replace the sample categories and planned amounts with your own.</t>
        </is>
      </c>
    </row>
    <row r="6" ht="38" customHeight="1">
      <c r="A6" s="24" t="inlineStr">
        <is>
          <t>3</t>
        </is>
      </c>
      <c r="B6" s="25" t="inlineStr">
        <is>
          <t>Enter actuals as the month goes. Variance and share update automatically.</t>
        </is>
      </c>
    </row>
    <row r="7" ht="38" customHeight="1">
      <c r="A7" s="24" t="inlineStr">
        <is>
          <t>4</t>
        </is>
      </c>
      <c r="B7" s="25" t="inlineStr">
        <is>
          <t>Review anything red: it is over plan and worth a conscious decision.</t>
        </is>
      </c>
    </row>
  </sheetData>
  <mergeCells count="2">
    <mergeCell ref="A1:D1"/>
    <mergeCell ref="A2:D2"/>
  </mergeCells>
  <printOptions horizontalCentered="1"/>
  <pageMargins left="0.45" right="0.45" top="0.65" bottom="0.6" header="0.5" footer="0.5"/>
  <pageSetup orientation="portrait" fitToHeight="0" fitToWidth="1"/>
  <headerFooter>
    <oddHeader>&amp;C&amp;9 &amp;K667085&amp;BPLOT DOCS SUITE&amp;"Calibri,Bold"  /  Budget Planner · Guide</oddHeader>
    <oddFooter>&amp;L&amp;8 &amp;K667085Built with Plot Docs Suite&amp;R&amp;8 &amp;K667085Page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2026-10-21T13:47:11Z</dcterms:created>
  <dcterms:modified xmlns:dcterms="http://purl.org/dc/terms/" xmlns:xsi="http://www.w3.org/2001/XMLSchema-instance" xsi:type="dcterms:W3CDTF">2026-10-21T13:47:11Z</dcterms:modified>
</cp:coreProperties>
</file>