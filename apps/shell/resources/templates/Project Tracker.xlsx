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'Tracker'!$A$4:$I$11</definedName>
    <definedName name="_xlnm.Print_Area" localSheetId="0">'Tracker'!$A$1:$I$14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667085"/>
      <sz val="10"/>
    </font>
    <font>
      <name val="Calibri"/>
      <b val="1"/>
      <color rgb="00FFFFFF"/>
      <sz val="10"/>
    </font>
    <font>
      <name val="Calibri"/>
      <b val="1"/>
      <color rgb="001B2237"/>
      <sz val="10"/>
    </font>
    <font>
      <name val="Calibri"/>
      <color rgb="001B2237"/>
      <sz val="10"/>
    </font>
    <font>
      <name val="Calibri"/>
      <b val="1"/>
      <color rgb="00667085"/>
      <sz val="8"/>
    </font>
    <font>
      <name val="Calibri"/>
      <b val="1"/>
      <color rgb="006D3BE8"/>
      <sz val="18"/>
    </font>
  </fonts>
  <fills count="6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F7F8FC"/>
      </patternFill>
    </fill>
    <fill>
      <patternFill patternType="solid">
        <fgColor rgb="006D3BE8"/>
      </patternFill>
    </fill>
    <fill>
      <patternFill patternType="solid">
        <fgColor rgb="00F8F9FD"/>
      </patternFill>
    </fill>
  </fills>
  <borders count="3">
    <border>
      <left/>
      <right/>
      <top/>
      <bottom/>
      <diagonal/>
    </border>
    <border>
      <bottom style="medium">
        <color rgb="000B1020"/>
      </bottom>
    </border>
    <border>
      <left style="thin">
        <color rgb="00DDE3F0"/>
      </left>
      <right style="thin">
        <color rgb="00DDE3F0"/>
      </right>
      <top style="thin">
        <color rgb="00DDE3F0"/>
      </top>
      <bottom style="thin">
        <color rgb="00DDE3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left" vertical="center" wrapText="1"/>
    </xf>
    <xf numFmtId="9" fontId="5" fillId="0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left" vertical="center" wrapText="1"/>
    </xf>
    <xf numFmtId="9" fontId="5" fillId="5" borderId="2" applyAlignment="1" pivotButton="0" quotePrefix="0" xfId="0">
      <alignment horizontal="center" vertical="center" wrapText="1"/>
    </xf>
    <xf numFmtId="1" fontId="5" fillId="5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067647"/>
      </font>
      <fill>
        <patternFill patternType="solid">
          <fgColor rgb="00D1FADF"/>
        </patternFill>
      </fill>
    </dxf>
    <dxf>
      <font>
        <b val="1"/>
        <color rgb="00175CD3"/>
      </font>
      <fill>
        <patternFill patternType="solid">
          <fgColor rgb="00EAF0FD"/>
        </patternFill>
      </fill>
    </dxf>
    <dxf>
      <font>
        <b val="1"/>
        <color rgb="00B42318"/>
      </font>
      <fill>
        <patternFill patternType="solid">
          <fgColor rgb="00FEE4E2"/>
        </patternFill>
      </fill>
    </dxf>
    <dxf>
      <font>
        <b val="1"/>
        <color rgb="00475467"/>
      </font>
      <fill>
        <patternFill patternType="solid">
          <fgColor rgb="00F2F4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0" customWidth="1" min="4" max="4"/>
    <col width="12" customWidth="1" min="5" max="5"/>
    <col width="12" customWidth="1" min="6" max="6"/>
    <col width="9" customWidth="1" min="7" max="7"/>
    <col width="9" customWidth="1" min="8" max="8"/>
    <col width="28" customWidth="1" min="9" max="9"/>
  </cols>
  <sheetData>
    <row r="1" ht="46" customHeight="1">
      <c r="A1" s="1" t="inlineStr">
        <is>
          <t>Project Tracker</t>
        </is>
      </c>
    </row>
    <row r="2" ht="28" customHeight="1">
      <c r="A2" s="2" t="inlineStr">
        <is>
          <t>One view of what is moving, what is blocked and who owns the next step.</t>
        </is>
      </c>
    </row>
    <row r="4" ht="28" customHeight="1">
      <c r="A4" s="3" t="inlineStr">
        <is>
          <t>Task</t>
        </is>
      </c>
      <c r="B4" s="3" t="inlineStr">
        <is>
          <t>Owner</t>
        </is>
      </c>
      <c r="C4" s="3" t="inlineStr">
        <is>
          <t>Status</t>
        </is>
      </c>
      <c r="D4" s="3" t="inlineStr">
        <is>
          <t>Priority</t>
        </is>
      </c>
      <c r="E4" s="3" t="inlineStr">
        <is>
          <t>Start</t>
        </is>
      </c>
      <c r="F4" s="3" t="inlineStr">
        <is>
          <t>Due</t>
        </is>
      </c>
      <c r="G4" s="3" t="inlineStr">
        <is>
          <t>% done</t>
        </is>
      </c>
      <c r="H4" s="3" t="inlineStr">
        <is>
          <t>Days left</t>
        </is>
      </c>
      <c r="I4" s="3" t="inlineStr">
        <is>
          <t>Notes</t>
        </is>
      </c>
    </row>
    <row r="5" ht="24" customHeight="1">
      <c r="A5" s="4" t="inlineStr">
        <is>
          <t>Finalise launch brief</t>
        </is>
      </c>
      <c r="B5" s="5" t="inlineStr">
        <is>
          <t>Avery</t>
        </is>
      </c>
      <c r="C5" s="6" t="inlineStr">
        <is>
          <t>Done</t>
        </is>
      </c>
      <c r="D5" s="6" t="inlineStr">
        <is>
          <t>High</t>
        </is>
      </c>
      <c r="E5" s="7" t="inlineStr">
        <is>
          <t>2026-10-01</t>
        </is>
      </c>
      <c r="F5" s="7" t="inlineStr">
        <is>
          <t>2026-10-06</t>
        </is>
      </c>
      <c r="G5" s="8" t="n">
        <v>1</v>
      </c>
      <c r="H5" s="9">
        <f>IF(F5="","",F5-TODAY())</f>
        <v/>
      </c>
      <c r="I5" s="5" t="inlineStr">
        <is>
          <t>Approved by sponsor</t>
        </is>
      </c>
    </row>
    <row r="6" ht="24" customHeight="1">
      <c r="A6" s="10" t="inlineStr">
        <is>
          <t>Homepage copy</t>
        </is>
      </c>
      <c r="B6" s="11" t="inlineStr">
        <is>
          <t>Priya</t>
        </is>
      </c>
      <c r="C6" s="12" t="inlineStr">
        <is>
          <t>In progress</t>
        </is>
      </c>
      <c r="D6" s="12" t="inlineStr">
        <is>
          <t>High</t>
        </is>
      </c>
      <c r="E6" s="13" t="inlineStr">
        <is>
          <t>2026-10-05</t>
        </is>
      </c>
      <c r="F6" s="13" t="inlineStr">
        <is>
          <t>2026-10-18</t>
        </is>
      </c>
      <c r="G6" s="14" t="n">
        <v>0.7</v>
      </c>
      <c r="H6" s="15">
        <f>IF(F6="","",F6-TODAY())</f>
        <v/>
      </c>
      <c r="I6" s="11" t="inlineStr">
        <is>
          <t>Awaiting legal review</t>
        </is>
      </c>
    </row>
    <row r="7" ht="24" customHeight="1">
      <c r="A7" s="4" t="inlineStr">
        <is>
          <t>Pricing page build</t>
        </is>
      </c>
      <c r="B7" s="5" t="inlineStr">
        <is>
          <t>Sam</t>
        </is>
      </c>
      <c r="C7" s="6" t="inlineStr">
        <is>
          <t>In progress</t>
        </is>
      </c>
      <c r="D7" s="6" t="inlineStr">
        <is>
          <t>Medium</t>
        </is>
      </c>
      <c r="E7" s="7" t="inlineStr">
        <is>
          <t>2026-10-08</t>
        </is>
      </c>
      <c r="F7" s="7" t="inlineStr">
        <is>
          <t>2026-10-22</t>
        </is>
      </c>
      <c r="G7" s="8" t="n">
        <v>0.45</v>
      </c>
      <c r="H7" s="9">
        <f>IF(F7="","",F7-TODAY())</f>
        <v/>
      </c>
      <c r="I7" s="5" t="inlineStr">
        <is>
          <t>Desktop done</t>
        </is>
      </c>
    </row>
    <row r="8" ht="24" customHeight="1">
      <c r="A8" s="10" t="inlineStr">
        <is>
          <t>Customer quotes</t>
        </is>
      </c>
      <c r="B8" s="11" t="inlineStr">
        <is>
          <t>Mei</t>
        </is>
      </c>
      <c r="C8" s="12" t="inlineStr">
        <is>
          <t>Blocked</t>
        </is>
      </c>
      <c r="D8" s="12" t="inlineStr">
        <is>
          <t>Medium</t>
        </is>
      </c>
      <c r="E8" s="13" t="inlineStr">
        <is>
          <t>2026-10-09</t>
        </is>
      </c>
      <c r="F8" s="13" t="inlineStr">
        <is>
          <t>2026-10-20</t>
        </is>
      </c>
      <c r="G8" s="14" t="n">
        <v>0.2</v>
      </c>
      <c r="H8" s="15">
        <f>IF(F8="","",F8-TODAY())</f>
        <v/>
      </c>
      <c r="I8" s="11" t="inlineStr">
        <is>
          <t>Waiting on approvals</t>
        </is>
      </c>
    </row>
    <row r="9" ht="24" customHeight="1">
      <c r="A9" s="4" t="inlineStr">
        <is>
          <t>Press kit</t>
        </is>
      </c>
      <c r="B9" s="5" t="inlineStr">
        <is>
          <t>Jordan</t>
        </is>
      </c>
      <c r="C9" s="6" t="inlineStr">
        <is>
          <t>Not started</t>
        </is>
      </c>
      <c r="D9" s="6" t="inlineStr">
        <is>
          <t>Low</t>
        </is>
      </c>
      <c r="E9" s="7" t="inlineStr">
        <is>
          <t>2026-10-15</t>
        </is>
      </c>
      <c r="F9" s="7" t="inlineStr">
        <is>
          <t>2026-10-27</t>
        </is>
      </c>
      <c r="G9" s="8" t="n">
        <v>0</v>
      </c>
      <c r="H9" s="9">
        <f>IF(F9="","",F9-TODAY())</f>
        <v/>
      </c>
      <c r="I9" s="5" t="inlineStr">
        <is>
          <t>Assets ready</t>
        </is>
      </c>
    </row>
    <row r="10" ht="24" customHeight="1">
      <c r="A10" s="10" t="inlineStr">
        <is>
          <t>Analytics QA</t>
        </is>
      </c>
      <c r="B10" s="11" t="inlineStr">
        <is>
          <t>Avery</t>
        </is>
      </c>
      <c r="C10" s="12" t="inlineStr">
        <is>
          <t>In progress</t>
        </is>
      </c>
      <c r="D10" s="12" t="inlineStr">
        <is>
          <t>High</t>
        </is>
      </c>
      <c r="E10" s="13" t="inlineStr">
        <is>
          <t>2026-10-12</t>
        </is>
      </c>
      <c r="F10" s="13" t="inlineStr">
        <is>
          <t>2026-10-24</t>
        </is>
      </c>
      <c r="G10" s="14" t="n">
        <v>0.6</v>
      </c>
      <c r="H10" s="15">
        <f>IF(F10="","",F10-TODAY())</f>
        <v/>
      </c>
      <c r="I10" s="11" t="inlineStr">
        <is>
          <t>Events in staging</t>
        </is>
      </c>
    </row>
    <row r="11" ht="24" customHeight="1">
      <c r="A11" s="4" t="inlineStr">
        <is>
          <t>Launch rehearsal</t>
        </is>
      </c>
      <c r="B11" s="5" t="inlineStr">
        <is>
          <t>Team</t>
        </is>
      </c>
      <c r="C11" s="6" t="inlineStr">
        <is>
          <t>Not started</t>
        </is>
      </c>
      <c r="D11" s="6" t="inlineStr">
        <is>
          <t>High</t>
        </is>
      </c>
      <c r="E11" s="7" t="inlineStr">
        <is>
          <t>2026-10-26</t>
        </is>
      </c>
      <c r="F11" s="7" t="inlineStr">
        <is>
          <t>2026-10-29</t>
        </is>
      </c>
      <c r="G11" s="8" t="n">
        <v>0</v>
      </c>
      <c r="H11" s="9">
        <f>IF(F11="","",F11-TODAY())</f>
        <v/>
      </c>
      <c r="I11" s="5" t="inlineStr">
        <is>
          <t>Book the room</t>
        </is>
      </c>
    </row>
    <row r="14" ht="40" customHeight="1">
      <c r="A14" s="16" t="inlineStr">
        <is>
          <t>OPEN TASKS</t>
        </is>
      </c>
      <c r="B14" s="17">
        <f>COUNTIF(C5:C11,"&lt;&gt;Done")</f>
        <v/>
      </c>
      <c r="C14" s="18" t="n"/>
      <c r="D14" s="16" t="inlineStr">
        <is>
          <t>BLOCKED</t>
        </is>
      </c>
      <c r="E14" s="17">
        <f>COUNTIF(C5:C11,"Blocked")</f>
        <v/>
      </c>
      <c r="F14" s="18" t="n"/>
      <c r="G14" s="16" t="inlineStr">
        <is>
          <t>AVG. COMPLETE</t>
        </is>
      </c>
      <c r="H14" s="19">
        <f>AVERAGE(G5:G11)</f>
        <v/>
      </c>
      <c r="I14" s="18" t="n"/>
    </row>
  </sheetData>
  <autoFilter ref="A4:I11"/>
  <mergeCells count="2">
    <mergeCell ref="A1:I1"/>
    <mergeCell ref="A2:I2"/>
  </mergeCells>
  <conditionalFormatting sqref="C5:C11">
    <cfRule type="expression" priority="1" dxfId="0">
      <formula>C5="Done"</formula>
    </cfRule>
    <cfRule type="expression" priority="2" dxfId="1">
      <formula>C5="In progress"</formula>
    </cfRule>
    <cfRule type="expression" priority="3" dxfId="2">
      <formula>C5="Blocked"</formula>
    </cfRule>
    <cfRule type="expression" priority="4" dxfId="3">
      <formula>C5="Not started"</formula>
    </cfRule>
  </conditionalFormatting>
  <dataValidations count="2">
    <dataValidation sqref="C5:C11" showDropDown="0" showInputMessage="0" showErrorMessage="0" allowBlank="1" type="list">
      <formula1>"Not started,In progress,Blocked,Done"</formula1>
    </dataValidation>
    <dataValidation sqref="D5:D11" showDropDown="0" showInputMessage="0" showErrorMessage="0" allowBlank="1" type="list">
      <formula1>"Low,Medium,High"</formula1>
    </dataValidation>
  </dataValidations>
  <printOptions horizontalCentered="1"/>
  <pageMargins left="0.45" right="0.45" top="0.65" bottom="0.6" header="0.5" footer="0.5"/>
  <pageSetup orientation="landscape" fitToHeight="0" fitToWidth="1"/>
  <headerFooter>
    <oddHeader>&amp;C&amp;9 &amp;K667085&amp;BPLOT DOCS&amp;"Calibri,Bold"  /  Project Tracker</oddHeader>
    <oddFooter>&amp;L&amp;8 &amp;K667085Built with Plot Docs&amp;R&amp;8 &amp;K667085Page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2026-10-22T09:38:38Z</dcterms:created>
  <dcterms:modified xmlns:dcterms="http://purl.org/dc/terms/" xmlns:xsi="http://www.w3.org/2001/XMLSchema-instance" xsi:type="dcterms:W3CDTF">2026-10-22T09:38:38Z</dcterms:modified>
</cp:coreProperties>
</file>