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>
    <definedName name="_xlnm._FilterDatabase" localSheetId="0" hidden="1">'Pipeline'!$A$4:$J$11</definedName>
    <definedName name="_xlnm.Print_Area" localSheetId="0">'Pipeline'!$A$1:$J$14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667085"/>
      <sz val="10"/>
    </font>
    <font>
      <name val="Calibri"/>
      <b val="1"/>
      <color rgb="00FFFFFF"/>
      <sz val="10"/>
    </font>
    <font>
      <name val="Calibri"/>
      <b val="1"/>
      <color rgb="001B2237"/>
      <sz val="10"/>
    </font>
    <font>
      <name val="Calibri"/>
      <color rgb="001B2237"/>
      <sz val="10"/>
    </font>
    <font>
      <name val="Calibri"/>
      <b val="1"/>
      <color rgb="00667085"/>
      <sz val="8"/>
    </font>
    <font>
      <name val="Calibri"/>
      <b val="1"/>
      <color rgb="006D3BE8"/>
      <sz val="18"/>
    </font>
  </fonts>
  <fills count="6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F7F8FC"/>
      </patternFill>
    </fill>
    <fill>
      <patternFill patternType="solid">
        <fgColor rgb="006D3BE8"/>
      </patternFill>
    </fill>
    <fill>
      <patternFill patternType="solid">
        <fgColor rgb="00F8F9FD"/>
      </patternFill>
    </fill>
  </fills>
  <borders count="3">
    <border>
      <left/>
      <right/>
      <top/>
      <bottom/>
      <diagonal/>
    </border>
    <border>
      <bottom style="medium">
        <color rgb="000B1020"/>
      </bottom>
    </border>
    <border>
      <left style="thin">
        <color rgb="00DDE3F0"/>
      </left>
      <right style="thin">
        <color rgb="00DDE3F0"/>
      </right>
      <top style="thin">
        <color rgb="00DDE3F0"/>
      </top>
      <bottom style="thin">
        <color rgb="00DDE3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right" vertical="center" wrapText="1"/>
    </xf>
    <xf numFmtId="9" fontId="5" fillId="0" borderId="2" applyAlignment="1" pivotButton="0" quotePrefix="0" xfId="0">
      <alignment horizontal="center" vertical="center" wrapText="1"/>
    </xf>
    <xf numFmtId="165" fontId="5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right" vertical="center" wrapText="1"/>
    </xf>
    <xf numFmtId="9" fontId="5" fillId="5" borderId="2" applyAlignment="1" pivotButton="0" quotePrefix="0" xfId="0">
      <alignment horizontal="center" vertical="center" wrapText="1"/>
    </xf>
    <xf numFmtId="165" fontId="5" fillId="5" borderId="2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b val="1"/>
        <color rgb="00475467"/>
      </font>
      <fill>
        <patternFill patternType="solid">
          <fgColor rgb="00F2F4F7"/>
        </patternFill>
      </fill>
    </dxf>
    <dxf>
      <font>
        <b val="1"/>
        <color rgb="00175CD3"/>
      </font>
      <fill>
        <patternFill patternType="solid">
          <fgColor rgb="00EAF0FD"/>
        </patternFill>
      </fill>
    </dxf>
    <dxf>
      <font>
        <b val="1"/>
        <color rgb="006D3BE8"/>
      </font>
      <fill>
        <patternFill patternType="solid">
          <fgColor rgb="00F2EDFF"/>
        </patternFill>
      </fill>
    </dxf>
    <dxf>
      <font>
        <b val="1"/>
        <color rgb="00B54708"/>
      </font>
      <fill>
        <patternFill patternType="solid">
          <fgColor rgb="00FEF0C7"/>
        </patternFill>
      </fill>
    </dxf>
    <dxf>
      <font>
        <b val="1"/>
        <color rgb="00067647"/>
      </font>
      <fill>
        <patternFill patternType="solid">
          <fgColor rgb="00D1FA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2" customWidth="1" min="9" max="9"/>
    <col width="30" customWidth="1" min="10" max="10"/>
  </cols>
  <sheetData>
    <row r="1" ht="46" customHeight="1">
      <c r="A1" s="1" t="inlineStr">
        <is>
          <t>Sales Pipeline</t>
        </is>
      </c>
    </row>
    <row r="2" ht="28" customHeight="1">
      <c r="A2" s="2" t="inlineStr">
        <is>
          <t>A weighted forecast when you need it, a clear next step when you do not.</t>
        </is>
      </c>
    </row>
    <row r="4" ht="28" customHeight="1">
      <c r="A4" s="3" t="inlineStr">
        <is>
          <t>Company</t>
        </is>
      </c>
      <c r="B4" s="3" t="inlineStr">
        <is>
          <t>Contact</t>
        </is>
      </c>
      <c r="C4" s="3" t="inlineStr">
        <is>
          <t>Stage</t>
        </is>
      </c>
      <c r="D4" s="3" t="inlineStr">
        <is>
          <t>Owner</t>
        </is>
      </c>
      <c r="E4" s="3" t="inlineStr">
        <is>
          <t>Value</t>
        </is>
      </c>
      <c r="F4" s="3" t="inlineStr">
        <is>
          <t>Probability</t>
        </is>
      </c>
      <c r="G4" s="3" t="inlineStr">
        <is>
          <t>Weighted</t>
        </is>
      </c>
      <c r="H4" s="3" t="inlineStr">
        <is>
          <t>Close date</t>
        </is>
      </c>
      <c r="I4" s="3" t="inlineStr">
        <is>
          <t>Source</t>
        </is>
      </c>
      <c r="J4" s="3" t="inlineStr">
        <is>
          <t>Next step</t>
        </is>
      </c>
    </row>
    <row r="5" ht="24" customHeight="1">
      <c r="A5" s="4" t="inlineStr">
        <is>
          <t>Northwind</t>
        </is>
      </c>
      <c r="B5" s="5" t="inlineStr">
        <is>
          <t>Dana Ortiz</t>
        </is>
      </c>
      <c r="C5" s="6" t="inlineStr">
        <is>
          <t>Proposal</t>
        </is>
      </c>
      <c r="D5" s="5" t="inlineStr">
        <is>
          <t>Avery</t>
        </is>
      </c>
      <c r="E5" s="7" t="n">
        <v>48000</v>
      </c>
      <c r="F5" s="8" t="n">
        <v>0.55</v>
      </c>
      <c r="G5" s="7">
        <f>E5*F5</f>
        <v/>
      </c>
      <c r="H5" s="9" t="inlineStr">
        <is>
          <t>2026-11-14</t>
        </is>
      </c>
      <c r="I5" s="5" t="inlineStr">
        <is>
          <t>Partner</t>
        </is>
      </c>
      <c r="J5" s="5" t="inlineStr">
        <is>
          <t>Send security appendix</t>
        </is>
      </c>
    </row>
    <row r="6" ht="24" customHeight="1">
      <c r="A6" s="10" t="inlineStr">
        <is>
          <t>Lumen Health</t>
        </is>
      </c>
      <c r="B6" s="11" t="inlineStr">
        <is>
          <t>Ravi Shah</t>
        </is>
      </c>
      <c r="C6" s="12" t="inlineStr">
        <is>
          <t>Discovery</t>
        </is>
      </c>
      <c r="D6" s="11" t="inlineStr">
        <is>
          <t>Sam</t>
        </is>
      </c>
      <c r="E6" s="13" t="n">
        <v>72000</v>
      </c>
      <c r="F6" s="14" t="n">
        <v>0.25</v>
      </c>
      <c r="G6" s="13">
        <f>E6*F6</f>
        <v/>
      </c>
      <c r="H6" s="15" t="inlineStr">
        <is>
          <t>2026-12-05</t>
        </is>
      </c>
      <c r="I6" s="11" t="inlineStr">
        <is>
          <t>Inbound</t>
        </is>
      </c>
      <c r="J6" s="11" t="inlineStr">
        <is>
          <t>Book clinical workshop</t>
        </is>
      </c>
    </row>
    <row r="7" ht="24" customHeight="1">
      <c r="A7" s="4" t="inlineStr">
        <is>
          <t>Atlas Freight</t>
        </is>
      </c>
      <c r="B7" s="5" t="inlineStr">
        <is>
          <t>Nora Kim</t>
        </is>
      </c>
      <c r="C7" s="6" t="inlineStr">
        <is>
          <t>Negotiation</t>
        </is>
      </c>
      <c r="D7" s="5" t="inlineStr">
        <is>
          <t>Avery</t>
        </is>
      </c>
      <c r="E7" s="7" t="n">
        <v>96000</v>
      </c>
      <c r="F7" s="8" t="n">
        <v>0.8</v>
      </c>
      <c r="G7" s="7">
        <f>E7*F7</f>
        <v/>
      </c>
      <c r="H7" s="9" t="inlineStr">
        <is>
          <t>2026-10-31</t>
        </is>
      </c>
      <c r="I7" s="5" t="inlineStr">
        <is>
          <t>Outbound</t>
        </is>
      </c>
      <c r="J7" s="5" t="inlineStr">
        <is>
          <t>Confirm legal redlines</t>
        </is>
      </c>
    </row>
    <row r="8" ht="24" customHeight="1">
      <c r="A8" s="10" t="inlineStr">
        <is>
          <t>Cedar &amp; Co</t>
        </is>
      </c>
      <c r="B8" s="11" t="inlineStr">
        <is>
          <t>Miles Green</t>
        </is>
      </c>
      <c r="C8" s="12" t="inlineStr">
        <is>
          <t>Qualified</t>
        </is>
      </c>
      <c r="D8" s="11" t="inlineStr">
        <is>
          <t>Mei</t>
        </is>
      </c>
      <c r="E8" s="13" t="n">
        <v>24000</v>
      </c>
      <c r="F8" s="14" t="n">
        <v>0.15</v>
      </c>
      <c r="G8" s="13">
        <f>E8*F8</f>
        <v/>
      </c>
      <c r="H8" s="15" t="inlineStr">
        <is>
          <t>2026-12-19</t>
        </is>
      </c>
      <c r="I8" s="11" t="inlineStr">
        <is>
          <t>Referral</t>
        </is>
      </c>
      <c r="J8" s="11" t="inlineStr">
        <is>
          <t>Map success criteria</t>
        </is>
      </c>
    </row>
    <row r="9" ht="24" customHeight="1">
      <c r="A9" s="4" t="inlineStr">
        <is>
          <t>Orbit Labs</t>
        </is>
      </c>
      <c r="B9" s="5" t="inlineStr">
        <is>
          <t>Sofia Ruiz</t>
        </is>
      </c>
      <c r="C9" s="6" t="inlineStr">
        <is>
          <t>Proposal</t>
        </is>
      </c>
      <c r="D9" s="5" t="inlineStr">
        <is>
          <t>Sam</t>
        </is>
      </c>
      <c r="E9" s="7" t="n">
        <v>36000</v>
      </c>
      <c r="F9" s="8" t="n">
        <v>0.5</v>
      </c>
      <c r="G9" s="7">
        <f>E9*F9</f>
        <v/>
      </c>
      <c r="H9" s="9" t="inlineStr">
        <is>
          <t>2026-11-21</t>
        </is>
      </c>
      <c r="I9" s="5" t="inlineStr">
        <is>
          <t>Event</t>
        </is>
      </c>
      <c r="J9" s="5" t="inlineStr">
        <is>
          <t>Follow up on pilot scope</t>
        </is>
      </c>
    </row>
    <row r="10" ht="24" customHeight="1">
      <c r="A10" s="10" t="inlineStr">
        <is>
          <t>Harbor Bank</t>
        </is>
      </c>
      <c r="B10" s="11" t="inlineStr">
        <is>
          <t>Kenji Sato</t>
        </is>
      </c>
      <c r="C10" s="12" t="inlineStr">
        <is>
          <t>Negotiation</t>
        </is>
      </c>
      <c r="D10" s="11" t="inlineStr">
        <is>
          <t>Avery</t>
        </is>
      </c>
      <c r="E10" s="13" t="n">
        <v>120000</v>
      </c>
      <c r="F10" s="14" t="n">
        <v>0.7</v>
      </c>
      <c r="G10" s="13">
        <f>E10*F10</f>
        <v/>
      </c>
      <c r="H10" s="15" t="inlineStr">
        <is>
          <t>2026-11-07</t>
        </is>
      </c>
      <c r="I10" s="11" t="inlineStr">
        <is>
          <t>Partner</t>
        </is>
      </c>
      <c r="J10" s="11" t="inlineStr">
        <is>
          <t>Finalise procurement path</t>
        </is>
      </c>
    </row>
    <row r="11" ht="24" customHeight="1">
      <c r="A11" s="4" t="inlineStr">
        <is>
          <t>Fable Studio</t>
        </is>
      </c>
      <c r="B11" s="5" t="inlineStr">
        <is>
          <t>Iris Bell</t>
        </is>
      </c>
      <c r="C11" s="6" t="inlineStr">
        <is>
          <t>Qualified</t>
        </is>
      </c>
      <c r="D11" s="5" t="inlineStr">
        <is>
          <t>Mei</t>
        </is>
      </c>
      <c r="E11" s="7" t="n">
        <v>18000</v>
      </c>
      <c r="F11" s="8" t="n">
        <v>0.2</v>
      </c>
      <c r="G11" s="7">
        <f>E11*F11</f>
        <v/>
      </c>
      <c r="H11" s="9" t="inlineStr">
        <is>
          <t>2027-01-09</t>
        </is>
      </c>
      <c r="I11" s="5" t="inlineStr">
        <is>
          <t>Inbound</t>
        </is>
      </c>
      <c r="J11" s="5" t="inlineStr">
        <is>
          <t>Send team plan</t>
        </is>
      </c>
    </row>
    <row r="14" ht="40" customHeight="1">
      <c r="A14" s="16" t="inlineStr">
        <is>
          <t>PIPELINE</t>
        </is>
      </c>
      <c r="B14" s="17">
        <f>SUM(E5:E11)</f>
        <v/>
      </c>
      <c r="C14" s="18" t="n"/>
      <c r="D14" s="16" t="inlineStr">
        <is>
          <t>WEIGHTED</t>
        </is>
      </c>
      <c r="E14" s="17">
        <f>SUM(G5:G11)</f>
        <v/>
      </c>
      <c r="F14" s="18" t="n"/>
      <c r="G14" s="16" t="inlineStr">
        <is>
          <t>DEALS</t>
        </is>
      </c>
      <c r="H14" s="17">
        <f>COUNTA(A5:A11)</f>
        <v/>
      </c>
      <c r="I14" s="18" t="n"/>
      <c r="J14" s="18" t="n"/>
    </row>
  </sheetData>
  <autoFilter ref="A4:J11"/>
  <mergeCells count="2">
    <mergeCell ref="A1:J1"/>
    <mergeCell ref="A2:J2"/>
  </mergeCells>
  <conditionalFormatting sqref="C5:C11">
    <cfRule type="expression" priority="1" dxfId="0">
      <formula>C5="Qualified"</formula>
    </cfRule>
    <cfRule type="expression" priority="2" dxfId="1">
      <formula>C5="Discovery"</formula>
    </cfRule>
    <cfRule type="expression" priority="3" dxfId="2">
      <formula>C5="Proposal"</formula>
    </cfRule>
    <cfRule type="expression" priority="4" dxfId="3">
      <formula>C5="Negotiation"</formula>
    </cfRule>
    <cfRule type="expression" priority="5" dxfId="4">
      <formula>C5="Won"</formula>
    </cfRule>
  </conditionalFormatting>
  <conditionalFormatting sqref="F5:F11">
    <cfRule type="colorScale" priority="6">
      <colorScale>
        <cfvo type="num" val="0"/>
        <cfvo type="num" val="0.5"/>
        <cfvo type="num" val="1"/>
        <color rgb="00FEE4E2"/>
        <color rgb="00FEF0C7"/>
        <color rgb="00D1FADF"/>
      </colorScale>
    </cfRule>
  </conditionalFormatting>
  <dataValidations count="1">
    <dataValidation sqref="C5:C11" showDropDown="0" showInputMessage="0" showErrorMessage="0" allowBlank="1" type="list">
      <formula1>"Qualified,Discovery,Proposal,Negotiation,Won,Lost"</formula1>
    </dataValidation>
  </dataValidations>
  <printOptions horizontalCentered="1"/>
  <pageMargins left="0.45" right="0.45" top="0.65" bottom="0.6" header="0.5" footer="0.5"/>
  <pageSetup orientation="landscape" fitToHeight="0" fitToWidth="1"/>
  <headerFooter>
    <oddHeader>&amp;C&amp;9 &amp;K667085&amp;BPLOT DOCS SUITE&amp;"Calibri,Bold"  /  Sales Pipeline</oddHeader>
    <oddFooter>&amp;L&amp;8 &amp;K667085Built with Plot Docs Suite&amp;R&amp;8 &amp;K667085Page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2026-10-21T13:47:11Z</dcterms:created>
  <dcterms:modified xmlns:dcterms="http://purl.org/dc/terms/" xmlns:xsi="http://www.w3.org/2001/XMLSchema-instance" xsi:type="dcterms:W3CDTF">2026-10-21T13:47:11Z</dcterms:modified>
</cp:coreProperties>
</file>